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C6A28B30-81A5-442D-A85C-E26B9E0D5DC9}" xr6:coauthVersionLast="47" xr6:coauthVersionMax="47" xr10:uidLastSave="{00000000-0000-0000-0000-000000000000}"/>
  <bookViews>
    <workbookView xWindow="20370" yWindow="-120" windowWidth="29040" windowHeight="15720" tabRatio="653" xr2:uid="{C526785A-4AAB-4E60-8E50-530F9C5BBE53}"/>
  </bookViews>
  <sheets>
    <sheet name="ControleDeInvestimento_DIO" sheetId="1" r:id="rId1"/>
    <sheet name="Planilha_Auxiliar_DIO" sheetId="3" r:id="rId2"/>
  </sheets>
  <definedNames>
    <definedName name="Aporte">ControleDeInvestimento_DIO!$D$28</definedName>
    <definedName name="Patrimonio">ControleDeInvestimento_DIO!$D$31</definedName>
    <definedName name="qtd_anos">ControleDeInvestimento_DIO!$D$29</definedName>
    <definedName name="Rendimento_Carteira">ControleDeInvestimento_DIO!$D$23</definedName>
    <definedName name="Salario">ControleDeInvestimento_DIO!$D$22</definedName>
    <definedName name="sugestao_investimento">ControleDeInvestimento_DIO!$D$24</definedName>
    <definedName name="taxa_mensal">ControleDeInvestimento_DIO!$D$30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7" i="1" l="1"/>
  <c r="C48" i="1"/>
  <c r="C49" i="1"/>
  <c r="C50" i="1"/>
  <c r="C51" i="1"/>
  <c r="D51" i="1" s="1"/>
  <c r="C46" i="1"/>
  <c r="A10" i="3"/>
  <c r="A11" i="3"/>
  <c r="A12" i="3"/>
  <c r="A13" i="3"/>
  <c r="A14" i="3"/>
  <c r="A15" i="3"/>
  <c r="A16" i="3"/>
  <c r="A17" i="3"/>
  <c r="A18" i="3"/>
  <c r="A19" i="3"/>
  <c r="A20" i="3"/>
  <c r="A9" i="3"/>
  <c r="A4" i="3"/>
  <c r="A5" i="3"/>
  <c r="A6" i="3"/>
  <c r="A7" i="3"/>
  <c r="A8" i="3"/>
  <c r="A3" i="3"/>
  <c r="C43" i="1"/>
  <c r="D31" i="1"/>
  <c r="D32" i="1" s="1"/>
  <c r="D24" i="1"/>
  <c r="C36" i="1"/>
  <c r="D36" i="1" s="1"/>
  <c r="C37" i="1"/>
  <c r="D37" i="1" s="1"/>
  <c r="C38" i="1"/>
  <c r="D38" i="1" s="1"/>
  <c r="C39" i="1"/>
  <c r="D39" i="1" s="1"/>
  <c r="C35" i="1"/>
  <c r="D35" i="1" s="1"/>
  <c r="D47" i="1" l="1"/>
  <c r="D46" i="1"/>
  <c r="D50" i="1"/>
  <c r="D49" i="1"/>
  <c r="D48" i="1"/>
  <c r="D52" i="1" l="1"/>
</calcChain>
</file>

<file path=xl/sharedStrings.xml><?xml version="1.0" encoding="utf-8"?>
<sst xmlns="http://schemas.openxmlformats.org/spreadsheetml/2006/main" count="70" uniqueCount="35">
  <si>
    <t>Quanto Investir por Mês?</t>
  </si>
  <si>
    <t>Por Quantos Anos?</t>
  </si>
  <si>
    <t>Taxa de Rendimento Mensal?</t>
  </si>
  <si>
    <t>Patrimonio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</si>
  <si>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</si>
  <si>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</si>
  <si>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</si>
  <si>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</si>
  <si>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</si>
  <si>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</si>
  <si>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</si>
  <si>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</si>
  <si>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</si>
  <si>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</si>
  <si>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Salario</t>
  </si>
  <si>
    <t>Rendimento da Carteira</t>
  </si>
  <si>
    <t>Sugestão de Investimento</t>
  </si>
  <si>
    <t>Perfil</t>
  </si>
  <si>
    <t>AGRESSIVO</t>
  </si>
  <si>
    <t>CONSERVADOR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</si>
  <si>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</si>
  <si>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</si>
  <si>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</si>
  <si>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</si>
  <si>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</si>
  <si>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</si>
  <si>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</si>
  <si>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</si>
  <si>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</si>
  <si>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</si>
  <si>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</si>
  <si>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TOTAL</t>
  </si>
  <si>
    <t>PERFIL</t>
  </si>
  <si>
    <t>%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</si>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</sst>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6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1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1"/>
      </left>
      <right style="medium">
        <color theme="2" tint="-9.9948118533890809E-2"/>
      </right>
      <top style="medium">
        <color theme="2" tint="-9.9948118533890809E-2"/>
      </top>
      <bottom style="medium">
        <color theme="1"/>
      </bottom>
      <diagonal/>
    </border>
    <border>
      <left style="medium">
        <color theme="2" tint="-9.9948118533890809E-2"/>
      </left>
      <right style="medium">
        <color theme="1"/>
      </right>
      <top style="medium">
        <color theme="2" tint="-9.9948118533890809E-2"/>
      </top>
      <bottom style="medium">
        <color theme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theme="1"/>
      </bottom>
      <diagonal/>
    </border>
    <border>
      <left style="medium">
        <color theme="1"/>
      </left>
      <right style="medium">
        <color theme="2" tint="-9.9948118533890809E-2"/>
      </right>
      <top/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/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1"/>
      </right>
      <top/>
      <bottom style="medium">
        <color theme="2" tint="-9.9948118533890809E-2"/>
      </bottom>
      <diagonal/>
    </border>
    <border>
      <left style="medium">
        <color indexed="64"/>
      </left>
      <right style="medium">
        <color theme="2" tint="-9.9948118533890809E-2"/>
      </right>
      <top/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indexed="64"/>
      </right>
      <top/>
      <bottom style="medium">
        <color theme="2" tint="-9.9948118533890809E-2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indexed="64"/>
      </top>
      <bottom style="medium">
        <color theme="2" tint="-9.9948118533890809E-2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indexed="64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indexed="64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8" fontId="2" fillId="3" borderId="9" xfId="0" applyNumberFormat="1" applyFont="1" applyFill="1" applyBorder="1" applyAlignment="1">
      <alignment horizontal="center" vertical="center"/>
    </xf>
    <xf numFmtId="8" fontId="2" fillId="3" borderId="4" xfId="0" applyNumberFormat="1" applyFont="1" applyFill="1" applyBorder="1" applyAlignment="1">
      <alignment horizontal="right"/>
    </xf>
    <xf numFmtId="8" fontId="2" fillId="3" borderId="10" xfId="0" applyNumberFormat="1" applyFont="1" applyFill="1" applyBorder="1" applyAlignment="1">
      <alignment horizontal="center" vertical="center"/>
    </xf>
    <xf numFmtId="8" fontId="2" fillId="3" borderId="6" xfId="0" applyNumberFormat="1" applyFont="1" applyFill="1" applyBorder="1" applyAlignment="1">
      <alignment horizontal="right"/>
    </xf>
    <xf numFmtId="8" fontId="2" fillId="3" borderId="12" xfId="0" applyNumberFormat="1" applyFont="1" applyFill="1" applyBorder="1" applyAlignment="1">
      <alignment horizontal="center" vertical="center"/>
    </xf>
    <xf numFmtId="8" fontId="2" fillId="3" borderId="13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center" vertical="center"/>
    </xf>
    <xf numFmtId="166" fontId="2" fillId="0" borderId="15" xfId="0" applyNumberFormat="1" applyFont="1" applyBorder="1" applyAlignment="1">
      <alignment horizontal="center" vertical="center"/>
    </xf>
    <xf numFmtId="166" fontId="2" fillId="0" borderId="19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0" fontId="2" fillId="0" borderId="17" xfId="0" applyNumberFormat="1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166" fontId="2" fillId="0" borderId="20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8" fontId="2" fillId="3" borderId="17" xfId="0" applyNumberFormat="1" applyFont="1" applyFill="1" applyBorder="1" applyAlignment="1">
      <alignment horizontal="center" vertical="center"/>
    </xf>
    <xf numFmtId="8" fontId="2" fillId="3" borderId="19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16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left"/>
    </xf>
    <xf numFmtId="166" fontId="2" fillId="4" borderId="0" xfId="0" applyNumberFormat="1" applyFont="1" applyFill="1" applyAlignment="1">
      <alignment horizontal="center"/>
    </xf>
    <xf numFmtId="9" fontId="2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3" borderId="0" xfId="0" applyFill="1"/>
    <xf numFmtId="166" fontId="3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24" xfId="0" applyFont="1" applyBorder="1"/>
    <xf numFmtId="0" fontId="2" fillId="0" borderId="24" xfId="0" applyFont="1" applyBorder="1" applyAlignment="1">
      <alignment horizontal="center"/>
    </xf>
    <xf numFmtId="9" fontId="2" fillId="0" borderId="0" xfId="0" applyNumberFormat="1" applyFont="1" applyBorder="1" applyAlignment="1">
      <alignment horizontal="center" vertical="center"/>
    </xf>
    <xf numFmtId="0" fontId="2" fillId="0" borderId="25" xfId="0" applyFont="1" applyBorder="1"/>
    <xf numFmtId="9" fontId="2" fillId="0" borderId="8" xfId="0" applyNumberFormat="1" applyFont="1" applyBorder="1" applyAlignment="1">
      <alignment horizontal="center" vertical="center"/>
    </xf>
    <xf numFmtId="9" fontId="2" fillId="0" borderId="24" xfId="0" applyNumberFormat="1" applyFont="1" applyBorder="1" applyAlignment="1">
      <alignment horizontal="center" vertical="center"/>
    </xf>
    <xf numFmtId="0" fontId="6" fillId="2" borderId="0" xfId="0" applyFont="1" applyFill="1" applyBorder="1" applyAlignment="1">
      <alignment horizontal="left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ControleDeInvestimento_DIO!$B$46:$B$51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ControleDeInvestimento_DIO!$C$46:$C$51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0-411B-BB32-27F45C4BD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390525</xdr:colOff>
      <xdr:row>0</xdr:row>
      <xdr:rowOff>1</xdr:rowOff>
    </xdr:from>
    <xdr:to>
      <xdr:col>16383</xdr:col>
      <xdr:colOff>19050</xdr:colOff>
      <xdr:row>18</xdr:row>
      <xdr:rowOff>161925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A05CF3E-5540-4423-E888-367632CE4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1"/>
          <a:ext cx="11049000" cy="3590924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52</xdr:row>
      <xdr:rowOff>157161</xdr:rowOff>
    </xdr:from>
    <xdr:to>
      <xdr:col>3</xdr:col>
      <xdr:colOff>1343024</xdr:colOff>
      <xdr:row>76</xdr:row>
      <xdr:rowOff>142875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E81D277-CB24-846E-25F1-47747624F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1F9FD-B5D8-4520-84F2-E5DB5F55284C}">
  <dimension ref="A11:XFD87"/>
  <sheetViews>
    <sheetView showGridLines="0" tabSelected="1" zoomScaleNormal="100" workbookViewId="0">
      <selection activeCell="D20" sqref="D20"/>
    </sheetView>
  </sheetViews>
  <sheetFormatPr defaultColWidth="0" defaultRowHeight="15" x14ac:dyDescent="0.25"/>
  <cols>
    <col min="1" max="1" width="6.140625" customWidth="1"/>
    <col min="2" max="2" width="64.7109375" customWidth="1"/>
    <col min="3" max="3" width="80.140625" customWidth="1"/>
    <col min="4" max="4" width="20.28515625" customWidth="1"/>
    <col min="5" max="5" width="30.28515625" hidden="1" customWidth="1"/>
    <col min="6" max="6" width="15" hidden="1" customWidth="1"/>
    <col min="7" max="11" width="9.140625" hidden="1" customWidth="1"/>
    <col min="12" max="12" width="10.5703125" hidden="1"/>
    <col min="13" max="16382" width="9.140625" hidden="1"/>
    <col min="16383" max="16383" width="0.140625" hidden="1" customWidth="1"/>
    <col min="16384" max="16384" width="5.42578125" customWidth="1"/>
  </cols>
  <sheetData>
    <row r="11" customFormat="1" x14ac:dyDescent="0.25"/>
    <row r="12" customFormat="1" x14ac:dyDescent="0.25"/>
    <row r="13" customFormat="1" x14ac:dyDescent="0.25"/>
    <row r="14" customFormat="1" x14ac:dyDescent="0.25"/>
    <row r="15" customFormat="1" x14ac:dyDescent="0.25"/>
    <row r="16" customFormat="1" x14ac:dyDescent="0.25"/>
    <row r="20" spans="2:4" ht="15.75" thickBot="1" x14ac:dyDescent="0.3"/>
    <row r="21" spans="2:4" ht="41.25" customHeight="1" x14ac:dyDescent="0.25">
      <c r="B21" s="11" t="s">
        <v>13</v>
      </c>
      <c r="C21" s="26"/>
      <c r="D21" s="17"/>
    </row>
    <row r="22" spans="2:4" ht="18" customHeight="1" thickBot="1" x14ac:dyDescent="0.3">
      <c r="B22" s="23" t="s">
        <v>14</v>
      </c>
      <c r="C22" s="27"/>
      <c r="D22" s="12">
        <v>2000</v>
      </c>
    </row>
    <row r="23" spans="2:4" ht="18" customHeight="1" thickBot="1" x14ac:dyDescent="0.3">
      <c r="B23" s="24" t="s">
        <v>15</v>
      </c>
      <c r="C23" s="28"/>
      <c r="D23" s="15">
        <v>6.0000000000000001E-3</v>
      </c>
    </row>
    <row r="24" spans="2:4" ht="18" customHeight="1" thickBot="1" x14ac:dyDescent="0.3">
      <c r="B24" s="25" t="s">
        <v>16</v>
      </c>
      <c r="C24" s="29"/>
      <c r="D24" s="13">
        <f>D22*30%</f>
        <v>600</v>
      </c>
    </row>
    <row r="25" spans="2:4" ht="18" customHeight="1" x14ac:dyDescent="0.25"/>
    <row r="26" spans="2:4" ht="18" customHeight="1" thickBot="1" x14ac:dyDescent="0.3"/>
    <row r="27" spans="2:4" ht="41.25" customHeight="1" thickBot="1" x14ac:dyDescent="0.3">
      <c r="B27" s="4" t="s">
        <v>5</v>
      </c>
      <c r="C27" s="16"/>
      <c r="D27" s="18"/>
    </row>
    <row r="28" spans="2:4" ht="19.5" thickBot="1" x14ac:dyDescent="0.3">
      <c r="B28" s="33" t="s">
        <v>0</v>
      </c>
      <c r="C28" s="34"/>
      <c r="D28" s="19">
        <v>200</v>
      </c>
    </row>
    <row r="29" spans="2:4" ht="19.5" thickBot="1" x14ac:dyDescent="0.3">
      <c r="B29" s="24" t="s">
        <v>1</v>
      </c>
      <c r="C29" s="28"/>
      <c r="D29" s="20">
        <v>10</v>
      </c>
    </row>
    <row r="30" spans="2:4" ht="19.5" thickBot="1" x14ac:dyDescent="0.3">
      <c r="B30" s="24" t="s">
        <v>2</v>
      </c>
      <c r="C30" s="28"/>
      <c r="D30" s="15">
        <v>1.0800000000000001E-2</v>
      </c>
    </row>
    <row r="31" spans="2:4" ht="19.5" thickBot="1" x14ac:dyDescent="0.3">
      <c r="B31" s="35" t="s">
        <v>3</v>
      </c>
      <c r="C31" s="36"/>
      <c r="D31" s="21">
        <f>FV(taxa_mensal,qtd_anos*12,Aporte*-1)</f>
        <v>48691.533250960019</v>
      </c>
    </row>
    <row r="32" spans="2:4" ht="19.5" thickBot="1" x14ac:dyDescent="0.3">
      <c r="B32" s="37" t="s">
        <v>4</v>
      </c>
      <c r="C32" s="38"/>
      <c r="D32" s="22">
        <f>Patrimonio*Rendimento_Carteira</f>
        <v>292.14919950576012</v>
      </c>
    </row>
    <row r="33" spans="1:4" ht="15.75" thickBot="1" x14ac:dyDescent="0.3"/>
    <row r="34" spans="1:4" ht="26.25" x14ac:dyDescent="0.25">
      <c r="B34" s="4" t="s">
        <v>11</v>
      </c>
      <c r="C34" s="16"/>
      <c r="D34" s="14" t="s">
        <v>12</v>
      </c>
    </row>
    <row r="35" spans="1:4" ht="19.5" thickBot="1" x14ac:dyDescent="0.35">
      <c r="A35" s="3">
        <v>2</v>
      </c>
      <c r="B35" s="30" t="s">
        <v>6</v>
      </c>
      <c r="C35" s="9">
        <f>FV($D$30,$A35*12,$D$28*-1)</f>
        <v>5446.172732116318</v>
      </c>
      <c r="D35" s="10">
        <f>C35*Rendimento_Carteira</f>
        <v>32.677036392697907</v>
      </c>
    </row>
    <row r="36" spans="1:4" ht="19.5" thickBot="1" x14ac:dyDescent="0.35">
      <c r="A36" s="3">
        <v>5</v>
      </c>
      <c r="B36" s="31" t="s">
        <v>7</v>
      </c>
      <c r="C36" s="5">
        <f>FV($D$30,$A36*12,$D$28*-1)</f>
        <v>16760.803871851687</v>
      </c>
      <c r="D36" s="6">
        <f>C36*Rendimento_Carteira</f>
        <v>100.56482323111013</v>
      </c>
    </row>
    <row r="37" spans="1:4" ht="19.5" thickBot="1" x14ac:dyDescent="0.35">
      <c r="A37" s="3">
        <v>10</v>
      </c>
      <c r="B37" s="31" t="s">
        <v>8</v>
      </c>
      <c r="C37" s="5">
        <f>FV($D$30,$A37*12,$D$28*-1)</f>
        <v>48691.533250960019</v>
      </c>
      <c r="D37" s="6">
        <f>C37*Rendimento_Carteira</f>
        <v>292.14919950576012</v>
      </c>
    </row>
    <row r="38" spans="1:4" ht="19.5" thickBot="1" x14ac:dyDescent="0.35">
      <c r="A38" s="3">
        <v>20</v>
      </c>
      <c r="B38" s="31" t="s">
        <v>9</v>
      </c>
      <c r="C38" s="5">
        <f>FV($D$30,$A38*12,$D$28*-1)</f>
        <v>225409.79865970465</v>
      </c>
      <c r="D38" s="6">
        <f>C38*Rendimento_Carteira</f>
        <v>1352.4587919582279</v>
      </c>
    </row>
    <row r="39" spans="1:4" ht="19.5" thickBot="1" x14ac:dyDescent="0.35">
      <c r="A39" s="3">
        <v>30</v>
      </c>
      <c r="B39" s="32" t="s">
        <v>10</v>
      </c>
      <c r="C39" s="7">
        <f>FV($D$30,$A39*12,$D$28*-1)</f>
        <v>866780.96206335025</v>
      </c>
      <c r="D39" s="8">
        <f>C39*Rendimento_Carteira</f>
        <v>5200.6857723801013</v>
      </c>
    </row>
    <row r="42" spans="1:4" ht="18.75" x14ac:dyDescent="0.3">
      <c r="B42" s="58" t="s">
        <v>17</v>
      </c>
      <c r="C42" s="59" t="s">
        <v>18</v>
      </c>
      <c r="D42" s="59"/>
    </row>
    <row r="43" spans="1:4" ht="18.75" x14ac:dyDescent="0.3">
      <c r="B43" s="41" t="s">
        <v>21</v>
      </c>
      <c r="C43" s="42">
        <f>Aporte</f>
        <v>200</v>
      </c>
      <c r="D43" s="42"/>
    </row>
    <row r="45" spans="1:4" ht="18.75" x14ac:dyDescent="0.3">
      <c r="B45" s="44" t="s">
        <v>22</v>
      </c>
      <c r="C45" s="44" t="s">
        <v>23</v>
      </c>
      <c r="D45" s="44" t="s">
        <v>24</v>
      </c>
    </row>
    <row r="46" spans="1:4" ht="18.75" x14ac:dyDescent="0.3">
      <c r="B46" s="40" t="s">
        <v>25</v>
      </c>
      <c r="C46" s="43">
        <f>VLOOKUP($C$42&amp;"-"&amp;B46,Planilha_Auxiliar_DIO!$A:$D,4,FALSE)</f>
        <v>0.5</v>
      </c>
      <c r="D46" s="39">
        <f>C46*$C$43</f>
        <v>100</v>
      </c>
    </row>
    <row r="47" spans="1:4" ht="18.75" x14ac:dyDescent="0.3">
      <c r="B47" s="40" t="s">
        <v>26</v>
      </c>
      <c r="C47" s="43">
        <f>VLOOKUP($C$42&amp;"-"&amp;B47,Planilha_Auxiliar_DIO!$A:$D,4,FALSE)</f>
        <v>0.1</v>
      </c>
      <c r="D47" s="39">
        <f t="shared" ref="D47:D51" si="0">C47*$C$43</f>
        <v>20</v>
      </c>
    </row>
    <row r="48" spans="1:4" ht="18.75" x14ac:dyDescent="0.3">
      <c r="B48" s="40" t="s">
        <v>27</v>
      </c>
      <c r="C48" s="43">
        <f>VLOOKUP($C$42&amp;"-"&amp;B48,Planilha_Auxiliar_DIO!$A:$D,4,FALSE)</f>
        <v>0.05</v>
      </c>
      <c r="D48" s="39">
        <f t="shared" si="0"/>
        <v>10</v>
      </c>
    </row>
    <row r="49" spans="2:4" ht="18.75" x14ac:dyDescent="0.3">
      <c r="B49" s="40" t="s">
        <v>28</v>
      </c>
      <c r="C49" s="43">
        <f>VLOOKUP($C$42&amp;"-"&amp;B49,Planilha_Auxiliar_DIO!$A:$D,4,FALSE)</f>
        <v>0.05</v>
      </c>
      <c r="D49" s="39">
        <f t="shared" si="0"/>
        <v>10</v>
      </c>
    </row>
    <row r="50" spans="2:4" ht="18.75" x14ac:dyDescent="0.3">
      <c r="B50" s="40" t="s">
        <v>29</v>
      </c>
      <c r="C50" s="43">
        <f>VLOOKUP($C$42&amp;"-"&amp;B50,Planilha_Auxiliar_DIO!$A:$D,4,FALSE)</f>
        <v>0.2</v>
      </c>
      <c r="D50" s="39">
        <f t="shared" si="0"/>
        <v>40</v>
      </c>
    </row>
    <row r="51" spans="2:4" ht="18.75" x14ac:dyDescent="0.3">
      <c r="B51" s="40" t="s">
        <v>30</v>
      </c>
      <c r="C51" s="43">
        <f>VLOOKUP($C$42&amp;"-"&amp;B51,Planilha_Auxiliar_DIO!$A:$D,4,FALSE)</f>
        <v>0.1</v>
      </c>
      <c r="D51" s="39">
        <f t="shared" si="0"/>
        <v>20</v>
      </c>
    </row>
    <row r="52" spans="2:4" ht="21" x14ac:dyDescent="0.25">
      <c r="B52" s="47" t="s">
        <v>31</v>
      </c>
      <c r="C52" s="45"/>
      <c r="D52" s="46">
        <f>SUM(D46:D51)</f>
        <v>200</v>
      </c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</sheetData>
  <mergeCells count="13">
    <mergeCell ref="B23:C23"/>
    <mergeCell ref="B24:C24"/>
    <mergeCell ref="C42:D42"/>
    <mergeCell ref="C43:D43"/>
    <mergeCell ref="B21:C21"/>
    <mergeCell ref="B27:C27"/>
    <mergeCell ref="B34:C34"/>
    <mergeCell ref="B28:C28"/>
    <mergeCell ref="B29:C29"/>
    <mergeCell ref="B30:C30"/>
    <mergeCell ref="B31:C31"/>
    <mergeCell ref="B32:C32"/>
    <mergeCell ref="B22:C22"/>
  </mergeCells>
  <dataValidations count="1">
    <dataValidation type="list" allowBlank="1" showInputMessage="1" showErrorMessage="1" sqref="C42" xr:uid="{7C621C17-1566-4437-8F58-08E7180DB344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0508-CAC4-451D-8CDD-954323631118}">
  <dimension ref="A2:D21"/>
  <sheetViews>
    <sheetView workbookViewId="0">
      <selection activeCell="D13" sqref="D13"/>
    </sheetView>
  </sheetViews>
  <sheetFormatPr defaultRowHeight="15" x14ac:dyDescent="0.25"/>
  <cols>
    <col min="1" max="1" width="42.85546875" customWidth="1"/>
    <col min="2" max="2" width="19.28515625" bestFit="1" customWidth="1"/>
    <col min="3" max="3" width="24.28515625" bestFit="1" customWidth="1"/>
    <col min="4" max="4" width="13.28515625" customWidth="1"/>
  </cols>
  <sheetData>
    <row r="2" spans="1:4" ht="18.75" x14ac:dyDescent="0.3">
      <c r="A2" s="1" t="s">
        <v>34</v>
      </c>
      <c r="B2" s="2" t="s">
        <v>32</v>
      </c>
      <c r="C2" s="2" t="s">
        <v>22</v>
      </c>
      <c r="D2" s="2" t="s">
        <v>33</v>
      </c>
    </row>
    <row r="3" spans="1:4" ht="18.75" x14ac:dyDescent="0.3">
      <c r="A3" s="1" t="str">
        <f>B3&amp;"-"&amp;C3</f>
        <v>CONSERVADOR-PAPEL</v>
      </c>
      <c r="B3" s="1" t="s">
        <v>19</v>
      </c>
      <c r="C3" s="40" t="s">
        <v>25</v>
      </c>
      <c r="D3" s="43">
        <v>0.3</v>
      </c>
    </row>
    <row r="4" spans="1:4" ht="18.75" x14ac:dyDescent="0.3">
      <c r="A4" s="1" t="str">
        <f t="shared" ref="A4:A20" si="0">B4&amp;"-"&amp;C4</f>
        <v>CONSERVADOR-TIJOLO</v>
      </c>
      <c r="B4" s="1" t="s">
        <v>19</v>
      </c>
      <c r="C4" s="40" t="s">
        <v>26</v>
      </c>
      <c r="D4" s="43">
        <v>0.5</v>
      </c>
    </row>
    <row r="5" spans="1:4" ht="18.75" x14ac:dyDescent="0.3">
      <c r="A5" s="1" t="str">
        <f t="shared" si="0"/>
        <v>CONSERVADOR-HIBRIDOS</v>
      </c>
      <c r="B5" s="1" t="s">
        <v>19</v>
      </c>
      <c r="C5" s="40" t="s">
        <v>27</v>
      </c>
      <c r="D5" s="43">
        <v>0.1</v>
      </c>
    </row>
    <row r="6" spans="1:4" ht="18.75" x14ac:dyDescent="0.3">
      <c r="A6" s="1" t="str">
        <f t="shared" si="0"/>
        <v>CONSERVADOR-FOFs</v>
      </c>
      <c r="B6" s="1" t="s">
        <v>19</v>
      </c>
      <c r="C6" s="40" t="s">
        <v>28</v>
      </c>
      <c r="D6" s="43">
        <v>0.1</v>
      </c>
    </row>
    <row r="7" spans="1:4" ht="18.75" x14ac:dyDescent="0.3">
      <c r="A7" s="1" t="str">
        <f t="shared" si="0"/>
        <v>CONSERVADOR-DESENVOLVIMENTO</v>
      </c>
      <c r="B7" s="1" t="s">
        <v>19</v>
      </c>
      <c r="C7" s="40" t="s">
        <v>29</v>
      </c>
      <c r="D7" s="43">
        <v>0</v>
      </c>
    </row>
    <row r="8" spans="1:4" ht="19.5" thickBot="1" x14ac:dyDescent="0.35">
      <c r="A8" s="1" t="str">
        <f t="shared" si="0"/>
        <v>CONSERVADOR-HOTELARIAS</v>
      </c>
      <c r="B8" s="1" t="s">
        <v>19</v>
      </c>
      <c r="C8" s="40" t="s">
        <v>30</v>
      </c>
      <c r="D8" s="43">
        <v>0</v>
      </c>
    </row>
    <row r="9" spans="1:4" ht="20.25" thickTop="1" thickBot="1" x14ac:dyDescent="0.35">
      <c r="A9" s="52" t="str">
        <f t="shared" si="0"/>
        <v>MODERADO-PAPEL</v>
      </c>
      <c r="B9" s="52" t="s">
        <v>20</v>
      </c>
      <c r="C9" s="53" t="s">
        <v>25</v>
      </c>
      <c r="D9" s="57">
        <v>0.32</v>
      </c>
    </row>
    <row r="10" spans="1:4" ht="20.25" thickTop="1" thickBot="1" x14ac:dyDescent="0.35">
      <c r="A10" s="52" t="str">
        <f t="shared" si="0"/>
        <v>MODERADO-TIJOLO</v>
      </c>
      <c r="B10" s="48" t="s">
        <v>20</v>
      </c>
      <c r="C10" s="49" t="s">
        <v>26</v>
      </c>
      <c r="D10" s="54">
        <v>0.35</v>
      </c>
    </row>
    <row r="11" spans="1:4" ht="20.25" thickTop="1" thickBot="1" x14ac:dyDescent="0.35">
      <c r="A11" s="52" t="str">
        <f t="shared" si="0"/>
        <v>MODERADO-HIBRIDOS</v>
      </c>
      <c r="B11" s="48" t="s">
        <v>20</v>
      </c>
      <c r="C11" s="49" t="s">
        <v>27</v>
      </c>
      <c r="D11" s="54">
        <v>0.08</v>
      </c>
    </row>
    <row r="12" spans="1:4" ht="20.25" thickTop="1" thickBot="1" x14ac:dyDescent="0.35">
      <c r="A12" s="52" t="str">
        <f t="shared" si="0"/>
        <v>MODERADO-FOFs</v>
      </c>
      <c r="B12" s="48" t="s">
        <v>20</v>
      </c>
      <c r="C12" s="49" t="s">
        <v>28</v>
      </c>
      <c r="D12" s="54">
        <v>0.05</v>
      </c>
    </row>
    <row r="13" spans="1:4" ht="20.25" thickTop="1" thickBot="1" x14ac:dyDescent="0.35">
      <c r="A13" s="52" t="str">
        <f t="shared" si="0"/>
        <v>MODERADO-DESENVOLVIMENTO</v>
      </c>
      <c r="B13" s="48" t="s">
        <v>20</v>
      </c>
      <c r="C13" s="49" t="s">
        <v>29</v>
      </c>
      <c r="D13" s="54">
        <v>0.1</v>
      </c>
    </row>
    <row r="14" spans="1:4" ht="20.25" thickTop="1" thickBot="1" x14ac:dyDescent="0.35">
      <c r="A14" s="55" t="str">
        <f t="shared" si="0"/>
        <v>MODERADO-HOTELARIAS</v>
      </c>
      <c r="B14" s="50" t="s">
        <v>20</v>
      </c>
      <c r="C14" s="51" t="s">
        <v>30</v>
      </c>
      <c r="D14" s="56">
        <v>0.1</v>
      </c>
    </row>
    <row r="15" spans="1:4" ht="19.5" thickBot="1" x14ac:dyDescent="0.35">
      <c r="A15" s="48" t="str">
        <f t="shared" si="0"/>
        <v>AGRESSIVO-PAPEL</v>
      </c>
      <c r="B15" s="1" t="s">
        <v>18</v>
      </c>
      <c r="C15" s="40" t="s">
        <v>25</v>
      </c>
      <c r="D15" s="43">
        <v>0.5</v>
      </c>
    </row>
    <row r="16" spans="1:4" ht="20.25" thickTop="1" thickBot="1" x14ac:dyDescent="0.35">
      <c r="A16" s="52" t="str">
        <f t="shared" si="0"/>
        <v>AGRESSIVO-TIJOLO</v>
      </c>
      <c r="B16" s="1" t="s">
        <v>18</v>
      </c>
      <c r="C16" s="40" t="s">
        <v>26</v>
      </c>
      <c r="D16" s="43">
        <v>0.1</v>
      </c>
    </row>
    <row r="17" spans="1:4" ht="20.25" thickTop="1" thickBot="1" x14ac:dyDescent="0.35">
      <c r="A17" s="52" t="str">
        <f t="shared" si="0"/>
        <v>AGRESSIVO-HIBRIDOS</v>
      </c>
      <c r="B17" s="1" t="s">
        <v>18</v>
      </c>
      <c r="C17" s="40" t="s">
        <v>27</v>
      </c>
      <c r="D17" s="43">
        <v>0.05</v>
      </c>
    </row>
    <row r="18" spans="1:4" ht="20.25" thickTop="1" thickBot="1" x14ac:dyDescent="0.35">
      <c r="A18" s="52" t="str">
        <f t="shared" si="0"/>
        <v>AGRESSIVO-FOFs</v>
      </c>
      <c r="B18" s="1" t="s">
        <v>18</v>
      </c>
      <c r="C18" s="40" t="s">
        <v>28</v>
      </c>
      <c r="D18" s="43">
        <v>0.05</v>
      </c>
    </row>
    <row r="19" spans="1:4" ht="20.25" thickTop="1" thickBot="1" x14ac:dyDescent="0.35">
      <c r="A19" s="52" t="str">
        <f t="shared" si="0"/>
        <v>AGRESSIVO-DESENVOLVIMENTO</v>
      </c>
      <c r="B19" s="1" t="s">
        <v>18</v>
      </c>
      <c r="C19" s="40" t="s">
        <v>29</v>
      </c>
      <c r="D19" s="43">
        <v>0.2</v>
      </c>
    </row>
    <row r="20" spans="1:4" ht="19.5" thickTop="1" x14ac:dyDescent="0.3">
      <c r="A20" s="52" t="str">
        <f t="shared" si="0"/>
        <v>AGRESSIVO-HOTELARIAS</v>
      </c>
      <c r="B20" s="1" t="s">
        <v>18</v>
      </c>
      <c r="C20" s="40" t="s">
        <v>30</v>
      </c>
      <c r="D20" s="43">
        <v>0.1</v>
      </c>
    </row>
    <row r="21" spans="1:4" ht="18.75" x14ac:dyDescent="0.3">
      <c r="A21" s="1"/>
      <c r="B21" s="1"/>
      <c r="C21" s="1"/>
      <c r="D2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ControleDeInvestimento_DIO</vt:lpstr>
      <vt:lpstr>Planilha_Auxiliar_DIO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>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Pastaazul Julio</dc:creator>
  <cp:lastModifiedBy>Pastaazul Julio</cp:lastModifiedBy>
  <dcterms:created xsi:type="dcterms:W3CDTF">2026-10-15T18:12:37Z</dcterms:created>
  <dcterms:modified xsi:type="dcterms:W3CDTF">2026-10-15T20:30:05Z</dcterms:modified>
</cp:coreProperties>
</file>